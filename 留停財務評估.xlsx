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留停逐月現金流" sheetId="2" state="visible" r:id="rId2"/>
    <sheet name="團購利潤試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08080"/>
    </font>
    <font>
      <b val="1"/>
    </font>
    <font>
      <b val="1"/>
      <color rgb="00FFFFFF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3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5" borderId="0" pivotButton="0" quotePrefix="0" xfId="0"/>
    <xf numFmtId="0" fontId="3" fillId="4" borderId="0" pivotButton="0" quotePrefix="0" xfId="0"/>
    <xf numFmtId="3" fontId="4" fillId="3" borderId="1" applyAlignment="1" pivotButton="0" quotePrefix="0" xfId="0">
      <alignment horizontal="center" vertical="center"/>
    </xf>
    <xf numFmtId="3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3" fontId="0" fillId="6" borderId="1" pivotButton="0" quotePrefix="0" xfId="0"/>
    <xf numFmtId="0" fontId="5" fillId="0" borderId="0" pivotButton="0" quotePrefix="0" xfId="0"/>
    <xf numFmtId="3" fontId="0" fillId="6" borderId="0" pivotButton="0" quotePrefix="0" xfId="0"/>
    <xf numFmtId="9" fontId="0" fillId="6" borderId="1" pivotButton="0" quotePrefix="0" xfId="0"/>
    <xf numFmtId="0" fontId="3" fillId="0" borderId="1" pivotButton="0" quotePrefix="0" xfId="0"/>
    <xf numFmtId="9" fontId="0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0" customWidth="1" min="3" max="3"/>
    <col width="12" customWidth="1" min="4" max="4"/>
  </cols>
  <sheetData>
    <row r="1" ht="26" customHeight="1">
      <c r="A1" s="1" t="inlineStr">
        <is>
          <t>💼 留停財務評估與離職規劃</t>
        </is>
      </c>
    </row>
    <row r="2">
      <c r="A2" s="2" t="inlineStr">
        <is>
          <t>評估日期 2026-06-07｜育嬰留停至 2027/10 離職（津貼已用完、無薪）</t>
        </is>
      </c>
    </row>
    <row r="3"/>
    <row r="4">
      <c r="A4" s="3" t="inlineStr">
        <is>
          <t>總結論</t>
        </is>
      </c>
    </row>
    <row r="5">
      <c r="A5" s="4" t="inlineStr">
        <is>
          <t>階段</t>
        </is>
      </c>
      <c r="B5" s="4" t="inlineStr">
        <is>
          <t>判斷</t>
        </is>
      </c>
      <c r="C5" s="4" t="inlineStr">
        <is>
          <t>原因</t>
        </is>
      </c>
    </row>
    <row r="6">
      <c r="A6" s="5" t="inlineStr">
        <is>
          <t>留停期間(現在~2027/10)</t>
        </is>
      </c>
      <c r="B6" t="inlineStr">
        <is>
          <t>✅ 安全、適合</t>
        </is>
      </c>
      <c r="C6" t="inlineStr">
        <is>
          <t>媽媽5萬全程確定；有正職退路+股票後盾</t>
        </is>
      </c>
    </row>
    <row r="7">
      <c r="A7" s="5" t="inlineStr">
        <is>
          <t>離職後(2027/10+)</t>
        </is>
      </c>
      <c r="B7" t="inlineStr">
        <is>
          <t>⚠️ 需條件成立</t>
        </is>
      </c>
      <c r="C7" t="inlineStr">
        <is>
          <t>媽媽贊助與薪水同月消失，靠先生+你的事業補</t>
        </is>
      </c>
    </row>
    <row r="8"/>
    <row r="9">
      <c r="A9" s="6" t="inlineStr">
        <is>
          <t>離職要安心 =</t>
        </is>
      </c>
      <c r="B9" t="inlineStr">
        <is>
          <t>你事業達標(團購1.5萬+甜點7,800) + 先生月收至少2.5萬(理想3~4萬)</t>
        </is>
      </c>
    </row>
    <row r="10">
      <c r="A10" s="3" t="n"/>
    </row>
    <row r="11">
      <c r="A11" s="4" t="inlineStr">
        <is>
          <t>資產</t>
        </is>
      </c>
      <c r="B11" s="7" t="inlineStr">
        <is>
          <t>金額</t>
        </is>
      </c>
      <c r="C11" s="4" t="inlineStr">
        <is>
          <t>備註</t>
        </is>
      </c>
    </row>
    <row r="12">
      <c r="A12" t="inlineStr">
        <is>
          <t>家庭活存</t>
        </is>
      </c>
      <c r="B12" s="8" t="n">
        <v>200000</v>
      </c>
      <c r="C12" t="inlineStr">
        <is>
          <t>唯一現金緩衝</t>
        </is>
      </c>
    </row>
    <row r="13">
      <c r="A13" t="inlineStr">
        <is>
          <t>家庭台股</t>
        </is>
      </c>
      <c r="B13" s="8" t="n">
        <v>16580060</v>
      </c>
      <c r="C13" t="inlineStr">
        <is>
          <t>領高股息,不賣</t>
        </is>
      </c>
    </row>
    <row r="14">
      <c r="A14" t="inlineStr">
        <is>
          <t>家庭美股(US$60,000)</t>
        </is>
      </c>
      <c r="B14" s="8" t="n">
        <v>1800000</v>
      </c>
      <c r="C14" t="inlineStr">
        <is>
          <t>領高股息,不賣</t>
        </is>
      </c>
    </row>
    <row r="15">
      <c r="A15" t="inlineStr">
        <is>
          <t>個人台股</t>
        </is>
      </c>
      <c r="B15" s="8" t="n">
        <v>5650935</v>
      </c>
      <c r="C15" t="inlineStr">
        <is>
          <t>領高股息,不賣</t>
        </is>
      </c>
    </row>
    <row r="16">
      <c r="A16" t="inlineStr">
        <is>
          <t>股票總值</t>
        </is>
      </c>
      <c r="B16" s="9">
        <f>B11+B12+B13</f>
        <v/>
      </c>
      <c r="C16" t="inlineStr">
        <is>
          <t>終極後盾</t>
        </is>
      </c>
    </row>
  </sheetData>
  <mergeCells count="5">
    <mergeCell ref="A1:D1"/>
    <mergeCell ref="A4:D4"/>
    <mergeCell ref="B9:D9"/>
    <mergeCell ref="A2:D2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0" t="inlineStr">
        <is>
          <t>留停期間逐月現金流追蹤（黃色欄位填實際收入，其餘自動算）</t>
        </is>
      </c>
    </row>
    <row r="2">
      <c r="A2" s="4" t="inlineStr">
        <is>
          <t>月份</t>
        </is>
      </c>
      <c r="B2" s="4" t="inlineStr">
        <is>
          <t>家庭股息</t>
        </is>
      </c>
      <c r="C2" s="4" t="inlineStr">
        <is>
          <t>個人股息</t>
        </is>
      </c>
      <c r="D2" s="4" t="inlineStr">
        <is>
          <t>媽媽贊助</t>
        </is>
      </c>
      <c r="E2" s="4" t="inlineStr">
        <is>
          <t>Chi bakery</t>
        </is>
      </c>
      <c r="F2" s="4" t="inlineStr">
        <is>
          <t>團購淨利</t>
        </is>
      </c>
      <c r="G2" s="4" t="inlineStr">
        <is>
          <t>其他收入</t>
        </is>
      </c>
      <c r="H2" s="4" t="inlineStr">
        <is>
          <t>收入合計</t>
        </is>
      </c>
      <c r="I2" s="4" t="inlineStr">
        <is>
          <t>房貸</t>
        </is>
      </c>
      <c r="J2" s="4" t="inlineStr">
        <is>
          <t>生活費</t>
        </is>
      </c>
      <c r="K2" s="4" t="inlineStr">
        <is>
          <t>其他固定</t>
        </is>
      </c>
      <c r="L2" s="4" t="inlineStr">
        <is>
          <t>支出合計</t>
        </is>
      </c>
      <c r="M2" s="4" t="inlineStr">
        <is>
          <t>當月結餘</t>
        </is>
      </c>
      <c r="N2" s="4" t="inlineStr">
        <is>
          <t>累積現金</t>
        </is>
      </c>
    </row>
    <row r="3">
      <c r="A3" s="11" t="inlineStr">
        <is>
          <t>2026/06</t>
        </is>
      </c>
      <c r="B3" s="12" t="n">
        <v>93000</v>
      </c>
      <c r="C3" s="12" t="n">
        <v>7800</v>
      </c>
      <c r="D3" s="12" t="n">
        <v>50000</v>
      </c>
      <c r="E3" s="13" t="n">
        <v>0</v>
      </c>
      <c r="F3" s="13" t="n">
        <v>0</v>
      </c>
      <c r="G3" s="13" t="n">
        <v>0</v>
      </c>
      <c r="H3" s="12">
        <f>SUM(B3:G3)</f>
        <v/>
      </c>
      <c r="I3" s="12" t="n">
        <v>42000</v>
      </c>
      <c r="J3" s="12" t="n">
        <v>50000</v>
      </c>
      <c r="K3" s="12" t="n">
        <v>71480</v>
      </c>
      <c r="L3" s="12">
        <f>SUM(I3:K3)</f>
        <v/>
      </c>
      <c r="M3" s="12">
        <f>H3-L3</f>
        <v/>
      </c>
      <c r="N3" s="12">
        <f>200000+M3</f>
        <v/>
      </c>
    </row>
    <row r="4">
      <c r="A4" s="11" t="inlineStr">
        <is>
          <t>2026/07</t>
        </is>
      </c>
      <c r="B4" s="12" t="n">
        <v>93000</v>
      </c>
      <c r="C4" s="12" t="n">
        <v>7800</v>
      </c>
      <c r="D4" s="12" t="n">
        <v>50000</v>
      </c>
      <c r="E4" s="13" t="n">
        <v>0</v>
      </c>
      <c r="F4" s="13" t="n">
        <v>0</v>
      </c>
      <c r="G4" s="13" t="n">
        <v>0</v>
      </c>
      <c r="H4" s="12">
        <f>SUM(B4:G4)</f>
        <v/>
      </c>
      <c r="I4" s="12" t="n">
        <v>42000</v>
      </c>
      <c r="J4" s="12" t="n">
        <v>50000</v>
      </c>
      <c r="K4" s="12" t="n">
        <v>71480</v>
      </c>
      <c r="L4" s="12">
        <f>SUM(I4:K4)</f>
        <v/>
      </c>
      <c r="M4" s="12">
        <f>H4-L4</f>
        <v/>
      </c>
      <c r="N4" s="12">
        <f>N3+M4</f>
        <v/>
      </c>
    </row>
    <row r="5">
      <c r="A5" s="11" t="inlineStr">
        <is>
          <t>2026/08</t>
        </is>
      </c>
      <c r="B5" s="12" t="n">
        <v>93000</v>
      </c>
      <c r="C5" s="12" t="n">
        <v>7800</v>
      </c>
      <c r="D5" s="12" t="n">
        <v>50000</v>
      </c>
      <c r="E5" s="13" t="n">
        <v>0</v>
      </c>
      <c r="F5" s="13" t="n">
        <v>0</v>
      </c>
      <c r="G5" s="13" t="n">
        <v>0</v>
      </c>
      <c r="H5" s="12">
        <f>SUM(B5:G5)</f>
        <v/>
      </c>
      <c r="I5" s="12" t="n">
        <v>42000</v>
      </c>
      <c r="J5" s="12" t="n">
        <v>50000</v>
      </c>
      <c r="K5" s="12" t="n">
        <v>71480</v>
      </c>
      <c r="L5" s="12">
        <f>SUM(I5:K5)</f>
        <v/>
      </c>
      <c r="M5" s="12">
        <f>H5-L5</f>
        <v/>
      </c>
      <c r="N5" s="12">
        <f>N4+M5</f>
        <v/>
      </c>
    </row>
    <row r="6">
      <c r="A6" s="11" t="inlineStr">
        <is>
          <t>2026/09</t>
        </is>
      </c>
      <c r="B6" s="12" t="n">
        <v>93000</v>
      </c>
      <c r="C6" s="12" t="n">
        <v>7800</v>
      </c>
      <c r="D6" s="12" t="n">
        <v>50000</v>
      </c>
      <c r="E6" s="13" t="n">
        <v>0</v>
      </c>
      <c r="F6" s="13" t="n">
        <v>0</v>
      </c>
      <c r="G6" s="13" t="n">
        <v>0</v>
      </c>
      <c r="H6" s="12">
        <f>SUM(B6:G6)</f>
        <v/>
      </c>
      <c r="I6" s="12" t="n">
        <v>42000</v>
      </c>
      <c r="J6" s="12" t="n">
        <v>50000</v>
      </c>
      <c r="K6" s="12" t="n">
        <v>71480</v>
      </c>
      <c r="L6" s="12">
        <f>SUM(I6:K6)</f>
        <v/>
      </c>
      <c r="M6" s="12">
        <f>H6-L6</f>
        <v/>
      </c>
      <c r="N6" s="12">
        <f>N5+M6</f>
        <v/>
      </c>
    </row>
    <row r="7">
      <c r="A7" s="11" t="inlineStr">
        <is>
          <t>2026/10</t>
        </is>
      </c>
      <c r="B7" s="12" t="n">
        <v>93000</v>
      </c>
      <c r="C7" s="12" t="n">
        <v>7800</v>
      </c>
      <c r="D7" s="12" t="n">
        <v>50000</v>
      </c>
      <c r="E7" s="13" t="n">
        <v>0</v>
      </c>
      <c r="F7" s="13" t="n">
        <v>0</v>
      </c>
      <c r="G7" s="13" t="n">
        <v>0</v>
      </c>
      <c r="H7" s="12">
        <f>SUM(B7:G7)</f>
        <v/>
      </c>
      <c r="I7" s="12" t="n">
        <v>42000</v>
      </c>
      <c r="J7" s="12" t="n">
        <v>50000</v>
      </c>
      <c r="K7" s="12" t="n">
        <v>71480</v>
      </c>
      <c r="L7" s="12">
        <f>SUM(I7:K7)</f>
        <v/>
      </c>
      <c r="M7" s="12">
        <f>H7-L7</f>
        <v/>
      </c>
      <c r="N7" s="12">
        <f>N6+M7</f>
        <v/>
      </c>
    </row>
    <row r="8">
      <c r="A8" s="11" t="inlineStr">
        <is>
          <t>2026/11</t>
        </is>
      </c>
      <c r="B8" s="12" t="n">
        <v>93000</v>
      </c>
      <c r="C8" s="12" t="n">
        <v>7800</v>
      </c>
      <c r="D8" s="12" t="n">
        <v>50000</v>
      </c>
      <c r="E8" s="13" t="n">
        <v>0</v>
      </c>
      <c r="F8" s="13" t="n">
        <v>0</v>
      </c>
      <c r="G8" s="13" t="n">
        <v>0</v>
      </c>
      <c r="H8" s="12">
        <f>SUM(B8:G8)</f>
        <v/>
      </c>
      <c r="I8" s="12" t="n">
        <v>42000</v>
      </c>
      <c r="J8" s="12" t="n">
        <v>50000</v>
      </c>
      <c r="K8" s="12" t="n">
        <v>71480</v>
      </c>
      <c r="L8" s="12">
        <f>SUM(I8:K8)</f>
        <v/>
      </c>
      <c r="M8" s="12">
        <f>H8-L8</f>
        <v/>
      </c>
      <c r="N8" s="12">
        <f>N7+M8</f>
        <v/>
      </c>
    </row>
    <row r="9">
      <c r="A9" s="11" t="inlineStr">
        <is>
          <t>2026/12</t>
        </is>
      </c>
      <c r="B9" s="12" t="n">
        <v>93000</v>
      </c>
      <c r="C9" s="12" t="n">
        <v>7800</v>
      </c>
      <c r="D9" s="12" t="n">
        <v>50000</v>
      </c>
      <c r="E9" s="13" t="n">
        <v>0</v>
      </c>
      <c r="F9" s="13" t="n">
        <v>0</v>
      </c>
      <c r="G9" s="13" t="n">
        <v>0</v>
      </c>
      <c r="H9" s="12">
        <f>SUM(B9:G9)</f>
        <v/>
      </c>
      <c r="I9" s="12" t="n">
        <v>42000</v>
      </c>
      <c r="J9" s="12" t="n">
        <v>50000</v>
      </c>
      <c r="K9" s="12" t="n">
        <v>71480</v>
      </c>
      <c r="L9" s="12">
        <f>SUM(I9:K9)</f>
        <v/>
      </c>
      <c r="M9" s="12">
        <f>H9-L9</f>
        <v/>
      </c>
      <c r="N9" s="12">
        <f>N8+M9</f>
        <v/>
      </c>
    </row>
    <row r="10">
      <c r="A10" s="11" t="inlineStr">
        <is>
          <t>2027/01</t>
        </is>
      </c>
      <c r="B10" s="12" t="n">
        <v>93000</v>
      </c>
      <c r="C10" s="12" t="n">
        <v>7800</v>
      </c>
      <c r="D10" s="12" t="n">
        <v>50000</v>
      </c>
      <c r="E10" s="13" t="n">
        <v>0</v>
      </c>
      <c r="F10" s="13" t="n">
        <v>0</v>
      </c>
      <c r="G10" s="13" t="n">
        <v>0</v>
      </c>
      <c r="H10" s="12">
        <f>SUM(B10:G10)</f>
        <v/>
      </c>
      <c r="I10" s="12" t="n">
        <v>42000</v>
      </c>
      <c r="J10" s="12" t="n">
        <v>50000</v>
      </c>
      <c r="K10" s="12" t="n">
        <v>71480</v>
      </c>
      <c r="L10" s="12">
        <f>SUM(I10:K10)</f>
        <v/>
      </c>
      <c r="M10" s="12">
        <f>H10-L10</f>
        <v/>
      </c>
      <c r="N10" s="12">
        <f>N9+M10</f>
        <v/>
      </c>
    </row>
    <row r="11">
      <c r="A11" s="11" t="inlineStr">
        <is>
          <t>2027/02</t>
        </is>
      </c>
      <c r="B11" s="12" t="n">
        <v>93000</v>
      </c>
      <c r="C11" s="12" t="n">
        <v>7800</v>
      </c>
      <c r="D11" s="12" t="n">
        <v>50000</v>
      </c>
      <c r="E11" s="13" t="n">
        <v>0</v>
      </c>
      <c r="F11" s="13" t="n">
        <v>0</v>
      </c>
      <c r="G11" s="13" t="n">
        <v>0</v>
      </c>
      <c r="H11" s="12">
        <f>SUM(B11:G11)</f>
        <v/>
      </c>
      <c r="I11" s="12" t="n">
        <v>42000</v>
      </c>
      <c r="J11" s="12" t="n">
        <v>50000</v>
      </c>
      <c r="K11" s="12" t="n">
        <v>71480</v>
      </c>
      <c r="L11" s="12">
        <f>SUM(I11:K11)</f>
        <v/>
      </c>
      <c r="M11" s="12">
        <f>H11-L11</f>
        <v/>
      </c>
      <c r="N11" s="12">
        <f>N10+M11</f>
        <v/>
      </c>
    </row>
    <row r="12">
      <c r="A12" s="11" t="inlineStr">
        <is>
          <t>2027/03</t>
        </is>
      </c>
      <c r="B12" s="12" t="n">
        <v>93000</v>
      </c>
      <c r="C12" s="12" t="n">
        <v>7800</v>
      </c>
      <c r="D12" s="12" t="n">
        <v>50000</v>
      </c>
      <c r="E12" s="13" t="n">
        <v>0</v>
      </c>
      <c r="F12" s="13" t="n">
        <v>0</v>
      </c>
      <c r="G12" s="13" t="n">
        <v>0</v>
      </c>
      <c r="H12" s="12">
        <f>SUM(B12:G12)</f>
        <v/>
      </c>
      <c r="I12" s="12" t="n">
        <v>42000</v>
      </c>
      <c r="J12" s="12" t="n">
        <v>50000</v>
      </c>
      <c r="K12" s="12" t="n">
        <v>71480</v>
      </c>
      <c r="L12" s="12">
        <f>SUM(I12:K12)</f>
        <v/>
      </c>
      <c r="M12" s="12">
        <f>H12-L12</f>
        <v/>
      </c>
      <c r="N12" s="12">
        <f>N11+M12</f>
        <v/>
      </c>
    </row>
    <row r="13">
      <c r="A13" s="11" t="inlineStr">
        <is>
          <t>2027/04</t>
        </is>
      </c>
      <c r="B13" s="12" t="n">
        <v>93000</v>
      </c>
      <c r="C13" s="12" t="n">
        <v>7800</v>
      </c>
      <c r="D13" s="12" t="n">
        <v>50000</v>
      </c>
      <c r="E13" s="13" t="n">
        <v>0</v>
      </c>
      <c r="F13" s="13" t="n">
        <v>0</v>
      </c>
      <c r="G13" s="13" t="n">
        <v>0</v>
      </c>
      <c r="H13" s="12">
        <f>SUM(B13:G13)</f>
        <v/>
      </c>
      <c r="I13" s="12" t="n">
        <v>42000</v>
      </c>
      <c r="J13" s="12" t="n">
        <v>50000</v>
      </c>
      <c r="K13" s="12" t="n">
        <v>71480</v>
      </c>
      <c r="L13" s="12">
        <f>SUM(I13:K13)</f>
        <v/>
      </c>
      <c r="M13" s="12">
        <f>H13-L13</f>
        <v/>
      </c>
      <c r="N13" s="12">
        <f>N12+M13</f>
        <v/>
      </c>
    </row>
    <row r="14">
      <c r="A14" s="11" t="inlineStr">
        <is>
          <t>2027/05</t>
        </is>
      </c>
      <c r="B14" s="12" t="n">
        <v>93000</v>
      </c>
      <c r="C14" s="12" t="n">
        <v>7800</v>
      </c>
      <c r="D14" s="12" t="n">
        <v>50000</v>
      </c>
      <c r="E14" s="13" t="n">
        <v>0</v>
      </c>
      <c r="F14" s="13" t="n">
        <v>0</v>
      </c>
      <c r="G14" s="13" t="n">
        <v>0</v>
      </c>
      <c r="H14" s="12">
        <f>SUM(B14:G14)</f>
        <v/>
      </c>
      <c r="I14" s="12" t="n">
        <v>42000</v>
      </c>
      <c r="J14" s="12" t="n">
        <v>50000</v>
      </c>
      <c r="K14" s="12" t="n">
        <v>71480</v>
      </c>
      <c r="L14" s="12">
        <f>SUM(I14:K14)</f>
        <v/>
      </c>
      <c r="M14" s="12">
        <f>H14-L14</f>
        <v/>
      </c>
      <c r="N14" s="12">
        <f>N13+M14</f>
        <v/>
      </c>
    </row>
    <row r="15">
      <c r="A15" s="11" t="inlineStr">
        <is>
          <t>2027/06</t>
        </is>
      </c>
      <c r="B15" s="12" t="n">
        <v>93000</v>
      </c>
      <c r="C15" s="12" t="n">
        <v>7800</v>
      </c>
      <c r="D15" s="12" t="n">
        <v>50000</v>
      </c>
      <c r="E15" s="13" t="n">
        <v>0</v>
      </c>
      <c r="F15" s="13" t="n">
        <v>0</v>
      </c>
      <c r="G15" s="13" t="n">
        <v>0</v>
      </c>
      <c r="H15" s="12">
        <f>SUM(B15:G15)</f>
        <v/>
      </c>
      <c r="I15" s="12" t="n">
        <v>42000</v>
      </c>
      <c r="J15" s="12" t="n">
        <v>50000</v>
      </c>
      <c r="K15" s="12" t="n">
        <v>71480</v>
      </c>
      <c r="L15" s="12">
        <f>SUM(I15:K15)</f>
        <v/>
      </c>
      <c r="M15" s="12">
        <f>H15-L15</f>
        <v/>
      </c>
      <c r="N15" s="12">
        <f>N14+M15</f>
        <v/>
      </c>
    </row>
    <row r="16">
      <c r="A16" s="11" t="inlineStr">
        <is>
          <t>2027/07</t>
        </is>
      </c>
      <c r="B16" s="12" t="n">
        <v>93000</v>
      </c>
      <c r="C16" s="12" t="n">
        <v>7800</v>
      </c>
      <c r="D16" s="12" t="n">
        <v>50000</v>
      </c>
      <c r="E16" s="13" t="n">
        <v>0</v>
      </c>
      <c r="F16" s="13" t="n">
        <v>0</v>
      </c>
      <c r="G16" s="13" t="n">
        <v>0</v>
      </c>
      <c r="H16" s="12">
        <f>SUM(B16:G16)</f>
        <v/>
      </c>
      <c r="I16" s="12" t="n">
        <v>42000</v>
      </c>
      <c r="J16" s="12" t="n">
        <v>50000</v>
      </c>
      <c r="K16" s="12" t="n">
        <v>71480</v>
      </c>
      <c r="L16" s="12">
        <f>SUM(I16:K16)</f>
        <v/>
      </c>
      <c r="M16" s="12">
        <f>H16-L16</f>
        <v/>
      </c>
      <c r="N16" s="12">
        <f>N15+M16</f>
        <v/>
      </c>
    </row>
    <row r="17">
      <c r="A17" s="11" t="inlineStr">
        <is>
          <t>2027/08</t>
        </is>
      </c>
      <c r="B17" s="12" t="n">
        <v>93000</v>
      </c>
      <c r="C17" s="12" t="n">
        <v>7800</v>
      </c>
      <c r="D17" s="12" t="n">
        <v>50000</v>
      </c>
      <c r="E17" s="13" t="n">
        <v>0</v>
      </c>
      <c r="F17" s="13" t="n">
        <v>0</v>
      </c>
      <c r="G17" s="13" t="n">
        <v>0</v>
      </c>
      <c r="H17" s="12">
        <f>SUM(B17:G17)</f>
        <v/>
      </c>
      <c r="I17" s="12" t="n">
        <v>42000</v>
      </c>
      <c r="J17" s="12" t="n">
        <v>50000</v>
      </c>
      <c r="K17" s="12" t="n">
        <v>71480</v>
      </c>
      <c r="L17" s="12">
        <f>SUM(I17:K17)</f>
        <v/>
      </c>
      <c r="M17" s="12">
        <f>H17-L17</f>
        <v/>
      </c>
      <c r="N17" s="12">
        <f>N16+M17</f>
        <v/>
      </c>
    </row>
    <row r="18">
      <c r="A18" s="11" t="inlineStr">
        <is>
          <t>2027/09</t>
        </is>
      </c>
      <c r="B18" s="12" t="n">
        <v>93000</v>
      </c>
      <c r="C18" s="12" t="n">
        <v>7800</v>
      </c>
      <c r="D18" s="12" t="n">
        <v>50000</v>
      </c>
      <c r="E18" s="13" t="n">
        <v>0</v>
      </c>
      <c r="F18" s="13" t="n">
        <v>0</v>
      </c>
      <c r="G18" s="13" t="n">
        <v>0</v>
      </c>
      <c r="H18" s="12">
        <f>SUM(B18:G18)</f>
        <v/>
      </c>
      <c r="I18" s="12" t="n">
        <v>42000</v>
      </c>
      <c r="J18" s="12" t="n">
        <v>50000</v>
      </c>
      <c r="K18" s="12" t="n">
        <v>71480</v>
      </c>
      <c r="L18" s="12">
        <f>SUM(I18:K18)</f>
        <v/>
      </c>
      <c r="M18" s="12">
        <f>H18-L18</f>
        <v/>
      </c>
      <c r="N18" s="12">
        <f>N17+M18</f>
        <v/>
      </c>
    </row>
    <row r="20">
      <c r="A20" s="14" t="inlineStr">
        <is>
          <t>↓ 離職後(2027/10起,媽媽歸零,其他固定降為56,780)</t>
        </is>
      </c>
    </row>
    <row r="21">
      <c r="A21" t="inlineStr">
        <is>
          <t>2027/10起</t>
        </is>
      </c>
      <c r="B21" s="8" t="n">
        <v>93000</v>
      </c>
      <c r="C21" s="8" t="n">
        <v>7800</v>
      </c>
      <c r="D21" s="8" t="n">
        <v>0</v>
      </c>
      <c r="E21" s="15" t="n">
        <v>0</v>
      </c>
      <c r="F21" s="15" t="n">
        <v>0</v>
      </c>
      <c r="G21" s="15" t="n">
        <v>0</v>
      </c>
      <c r="H21" s="8">
        <f>SUM(B21:G21)</f>
        <v/>
      </c>
      <c r="I21" s="8" t="n">
        <v>42000</v>
      </c>
      <c r="J21" s="8" t="n">
        <v>50000</v>
      </c>
      <c r="K21" s="8" t="n">
        <v>56780</v>
      </c>
      <c r="L21" s="8">
        <f>SUM(I21:K21)</f>
        <v/>
      </c>
      <c r="M21" s="8">
        <f>H21-L21</f>
        <v/>
      </c>
      <c r="N21" s="8">
        <f>N18+M21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團購利潤試算（廠商直出+分潤模式；黃色欄位可改）</t>
        </is>
      </c>
    </row>
    <row r="2">
      <c r="A2" s="4" t="inlineStr">
        <is>
          <t>品項</t>
        </is>
      </c>
      <c r="B2" s="4" t="inlineStr">
        <is>
          <t>類型</t>
        </is>
      </c>
      <c r="C2" s="4" t="inlineStr">
        <is>
          <t>月訂單數</t>
        </is>
      </c>
      <c r="D2" s="4" t="inlineStr">
        <is>
          <t>客單價</t>
        </is>
      </c>
      <c r="E2" s="4" t="inlineStr">
        <is>
          <t>分潤(小數)</t>
        </is>
      </c>
      <c r="F2" s="4" t="inlineStr">
        <is>
          <t>月毛分潤</t>
        </is>
      </c>
    </row>
    <row r="3">
      <c r="A3" s="11" t="inlineStr">
        <is>
          <t>寶寶尿布</t>
        </is>
      </c>
      <c r="B3" s="11" t="inlineStr">
        <is>
          <t>班底</t>
        </is>
      </c>
      <c r="C3" s="13" t="n">
        <v>25</v>
      </c>
      <c r="D3" s="13" t="n">
        <v>600</v>
      </c>
      <c r="E3" s="16" t="n">
        <v>0.05</v>
      </c>
      <c r="F3" s="12">
        <f>C3*D3*E3</f>
        <v/>
      </c>
    </row>
    <row r="4">
      <c r="A4" s="11" t="inlineStr">
        <is>
          <t>寶寶濕紙巾</t>
        </is>
      </c>
      <c r="B4" s="11" t="inlineStr">
        <is>
          <t>班底</t>
        </is>
      </c>
      <c r="C4" s="13" t="n">
        <v>25</v>
      </c>
      <c r="D4" s="13" t="n">
        <v>400</v>
      </c>
      <c r="E4" s="16" t="n">
        <v>0.08</v>
      </c>
      <c r="F4" s="12">
        <f>C4*D4*E4</f>
        <v/>
      </c>
    </row>
    <row r="5">
      <c r="A5" s="11" t="inlineStr">
        <is>
          <t>副食品消耗品</t>
        </is>
      </c>
      <c r="B5" s="11" t="inlineStr">
        <is>
          <t>班底</t>
        </is>
      </c>
      <c r="C5" s="13" t="n">
        <v>20</v>
      </c>
      <c r="D5" s="13" t="n">
        <v>500</v>
      </c>
      <c r="E5" s="16" t="n">
        <v>0.1</v>
      </c>
      <c r="F5" s="12">
        <f>C5*D5*E5</f>
        <v/>
      </c>
    </row>
    <row r="6">
      <c r="A6" s="11" t="inlineStr">
        <is>
          <t>居家用品</t>
        </is>
      </c>
      <c r="B6" s="11" t="inlineStr">
        <is>
          <t>利潤</t>
        </is>
      </c>
      <c r="C6" s="13" t="n">
        <v>20</v>
      </c>
      <c r="D6" s="13" t="n">
        <v>1300</v>
      </c>
      <c r="E6" s="16" t="n">
        <v>0.16</v>
      </c>
      <c r="F6" s="12">
        <f>C6*D6*E6</f>
        <v/>
      </c>
    </row>
    <row r="7">
      <c r="A7" s="11" t="inlineStr">
        <is>
          <t>用品/玩具/餐具</t>
        </is>
      </c>
      <c r="B7" s="11" t="inlineStr">
        <is>
          <t>利潤</t>
        </is>
      </c>
      <c r="C7" s="13" t="n">
        <v>10</v>
      </c>
      <c r="D7" s="13" t="n">
        <v>1500</v>
      </c>
      <c r="E7" s="16" t="n">
        <v>0.15</v>
      </c>
      <c r="F7" s="12">
        <f>C7*D7*E7</f>
        <v/>
      </c>
    </row>
    <row r="8">
      <c r="A8" s="17" t="inlineStr">
        <is>
          <t>合計</t>
        </is>
      </c>
      <c r="B8" s="11" t="n"/>
      <c r="C8" s="12">
        <f>SUM(C3:C7)</f>
        <v/>
      </c>
      <c r="D8" s="12" t="n"/>
      <c r="E8" s="18" t="n"/>
      <c r="F8" s="19">
        <f>SUM(F3:F7)</f>
        <v/>
      </c>
    </row>
    <row r="10">
      <c r="A10" t="inlineStr">
        <is>
          <t>月毛分潤</t>
        </is>
      </c>
      <c r="F10" s="8">
        <f>F8</f>
        <v/>
      </c>
    </row>
    <row r="11">
      <c r="A11" t="inlineStr">
        <is>
          <t>金流手續費(抓2%)</t>
        </is>
      </c>
      <c r="F11" s="8">
        <f>F8*0.02</f>
        <v/>
      </c>
    </row>
    <row r="12">
      <c r="A12" s="10" t="inlineStr">
        <is>
          <t>每月淨利</t>
        </is>
      </c>
      <c r="F12" s="9">
        <f>F10-F11</f>
        <v/>
      </c>
    </row>
    <row r="13">
      <c r="A13" t="inlineStr">
        <is>
          <t>目標月淨利</t>
        </is>
      </c>
      <c r="F13" s="8" t="n">
        <v>15000</v>
      </c>
    </row>
    <row r="14">
      <c r="A14" t="inlineStr">
        <is>
          <t>差距(達標為正)</t>
        </is>
      </c>
      <c r="F14" s="8">
        <f>F12-F13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2026-06-08T19:20:58Z</dcterms:created>
  <dcterms:modified xsi:type="dcterms:W3CDTF">2026-06-08T19:20:58Z</dcterms:modified>
</cp:coreProperties>
</file>